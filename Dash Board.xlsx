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Neeld\Downloads\New folder (7)\"/>
    </mc:Choice>
  </mc:AlternateContent>
  <bookViews>
    <workbookView minimized="1" xWindow="0" yWindow="0" windowWidth="23040" windowHeight="9264"/>
  </bookViews>
  <sheets>
    <sheet name="Sheet1" sheetId="1" r:id="rId1"/>
    <sheet name="Dashboard" sheetId="2" r:id="rId2"/>
  </sheets>
  <definedNames>
    <definedName name="Slicer_DESG">#N/A</definedName>
    <definedName name="Slicer_Location">#N/A</definedName>
    <definedName name="Slicer_Month_Year">#N/A</definedName>
    <definedName name="Slicer_Region">#N/A</definedName>
  </definedNames>
  <calcPr calcId="152511"/>
  <pivotCaches>
    <pivotCache cacheId="0"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<sst xmlns="http://schemas.openxmlformats.org/spreadsheetml/2006/main" count="123" uniqueCount="86">
  <si>
    <t>Region</t>
  </si>
  <si>
    <t>User</t>
  </si>
  <si>
    <t>Emp Code</t>
  </si>
  <si>
    <t>DESG</t>
  </si>
  <si>
    <t>Location</t>
  </si>
  <si>
    <t>Month/Year</t>
  </si>
  <si>
    <t>Work Days</t>
  </si>
  <si>
    <t>Camp</t>
  </si>
  <si>
    <t>NCA</t>
  </si>
  <si>
    <t>FWD</t>
  </si>
  <si>
    <t>FDW Days</t>
  </si>
  <si>
    <t>Doctors in SVL</t>
  </si>
  <si>
    <t>Doctors Met</t>
  </si>
  <si>
    <t>Call/Not A Call Dr Call Avg</t>
  </si>
  <si>
    <t>%Dr Cvrg</t>
  </si>
  <si>
    <t>% Repeat Cvrg</t>
  </si>
  <si>
    <t>Missed Dr</t>
  </si>
  <si>
    <t>Chemists in SVL</t>
  </si>
  <si>
    <t>Chemist met</t>
  </si>
  <si>
    <t>L Che Call Avg</t>
  </si>
  <si>
    <t>Doctors Detailed</t>
  </si>
  <si>
    <t>% Dr Detailed Cvrg</t>
  </si>
  <si>
    <t>Core Coverage</t>
  </si>
  <si>
    <t>Kolkata I</t>
  </si>
  <si>
    <t>Bhanu Bhakta Khadka</t>
  </si>
  <si>
    <t>32231</t>
  </si>
  <si>
    <t>DCE</t>
  </si>
  <si>
    <t>Siliguri 2</t>
  </si>
  <si>
    <t>Aug-2026</t>
  </si>
  <si>
    <t>25</t>
  </si>
  <si>
    <t>0</t>
  </si>
  <si>
    <t>1</t>
  </si>
  <si>
    <t>24</t>
  </si>
  <si>
    <t>87.21</t>
  </si>
  <si>
    <t>60</t>
  </si>
  <si>
    <t>54</t>
  </si>
  <si>
    <t>Binay Kumar Mahanta</t>
  </si>
  <si>
    <t>33170</t>
  </si>
  <si>
    <t>Guwahati 2</t>
  </si>
  <si>
    <t>70.59</t>
  </si>
  <si>
    <t>50</t>
  </si>
  <si>
    <t>47</t>
  </si>
  <si>
    <t>59</t>
  </si>
  <si>
    <t>Sk  Mofez</t>
  </si>
  <si>
    <t>36270</t>
  </si>
  <si>
    <t>Kolkata 7</t>
  </si>
  <si>
    <t>1.5</t>
  </si>
  <si>
    <t>23.5</t>
  </si>
  <si>
    <t>58.89</t>
  </si>
  <si>
    <t>120</t>
  </si>
  <si>
    <t>29</t>
  </si>
  <si>
    <t>58</t>
  </si>
  <si>
    <t>Rahul  Pal</t>
  </si>
  <si>
    <t>32526</t>
  </si>
  <si>
    <t>Kolkata 3</t>
  </si>
  <si>
    <t>23</t>
  </si>
  <si>
    <t>70.89</t>
  </si>
  <si>
    <t>63</t>
  </si>
  <si>
    <t>31</t>
  </si>
  <si>
    <t>68</t>
  </si>
  <si>
    <t>Subrata  Das</t>
  </si>
  <si>
    <t>36243</t>
  </si>
  <si>
    <t>Siliguri 1</t>
  </si>
  <si>
    <t>0.5</t>
  </si>
  <si>
    <t>24.5</t>
  </si>
  <si>
    <t>79</t>
  </si>
  <si>
    <t>85.71</t>
  </si>
  <si>
    <t>44</t>
  </si>
  <si>
    <t>Pritam  Das</t>
  </si>
  <si>
    <t>34783</t>
  </si>
  <si>
    <t>Kolkata 8</t>
  </si>
  <si>
    <t>27</t>
  </si>
  <si>
    <t>2.5</t>
  </si>
  <si>
    <t>63.53</t>
  </si>
  <si>
    <t>35</t>
  </si>
  <si>
    <t>Row Labels</t>
  </si>
  <si>
    <t>Grand Total</t>
  </si>
  <si>
    <t>drCALL</t>
  </si>
  <si>
    <t>Sum of drCALL</t>
  </si>
  <si>
    <t>Sum of Call/Not A Call Dr Call Avg</t>
  </si>
  <si>
    <t>Sum of L Che Call Avg</t>
  </si>
  <si>
    <t>Average of %Dr Cvrg</t>
  </si>
  <si>
    <t>Sum of Missed Dr</t>
  </si>
  <si>
    <t>Sum of % Dr Detailed Cvrg</t>
  </si>
  <si>
    <t>Sum of Core Coverage</t>
  </si>
  <si>
    <t>neel dey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</si>
</sst>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800]dddd\,\ mmmm\ dd\,\ yyyy"/>
  </numFmts>
  <fonts count="3" x14ac:knownFonts="1">
    <font>
      <sz val="11"/>
      <color theme="1"/>
      <name val="Calibri"/>
      <family val="2"/>
      <scheme val="minor"/>
    </font>
    <font>
      <sz val="10"/>
      <name val="Arial"/>
      <family val="2"/>
    </font>
    <font>
      <b/>
      <sz val="1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xfId="0"/>
    <xf numFmtId="0" fontId="1" fillId="0" borderId="0" xfId="1"/>
    <xf numFmtId="0" fontId="2" fillId="0" borderId="0" xfId="1" applyFont="1"/>
    <xf numFmtId="0" fontId="0" fillId="0" borderId="0" xfId="0" pivotButton="1"/>
    <xf numFmtId="0" fontId="0" fillId="0" borderId="0" xfId="0" applyAlignment="1">
      <alignment horizontal="left"/>
    </xf>
    <xf numFmtId="0" fontId="0" fillId="0" borderId="0" xfId="0" applyNumberFormat="1"/>
    <xf numFmtId="164" fontId="1" fillId="0" borderId="0" xfId="1" applyNumberFormat="1"/>
  </cellXfs>
  <cellStyles count="2">
    <cellStyle name="Normal" xfId="0" builtinId="0"/>
    <cellStyle name="Normal 2" xfId="1"/>
  </cellStyles>
  <dxfs count="19">
    <dxf>
      <numFmt numFmtId="164" formatCode="[$-F800]dddd\,\ mmmm\ dd\,\ yyyy"/>
    </dxf>
    <dxf>
      <font>
        <b/>
        <i val="0"/>
        <strike val="0"/>
        <condense val="0"/>
        <extend val="0"/>
        <outline val="0"/>
        <shadow val="0"/>
        <u val="none"/>
        <vertAlign val="baseline"/>
        <sz val="11"/>
        <color auto="1"/>
        <name val="Calibri"/>
        <scheme val="none"/>
      </font>
    </dxf>
    <dxf>
      <fill>
        <patternFill patternType="solid">
          <fgColor theme="4" tint="0.79998168889431442"/>
          <bgColor theme="4" tint="0.79998168889431442"/>
        </patternFill>
      </fill>
      <border>
        <bottom style="thin">
          <color theme="4" tint="0.39997558519241921"/>
        </bottom>
      </border>
    </dxf>
    <dxf>
      <font>
        <b/>
      </font>
      <fill>
        <patternFill patternType="solid">
          <fgColor theme="4" tint="0.79998168889431442"/>
          <bgColor theme="4" tint="0.79998168889431442"/>
        </patternFill>
      </fill>
      <border>
        <bottom style="thin">
          <color theme="4" tint="0.39997558519241921"/>
        </bottom>
      </border>
    </dxf>
    <dxf>
      <font>
        <color theme="1"/>
      </font>
    </dxf>
    <dxf>
      <font>
        <color theme="1"/>
      </font>
      <border>
        <bottom style="thin">
          <color theme="4" tint="0.39997558519241921"/>
        </bottom>
      </border>
    </dxf>
    <dxf>
      <font>
        <b/>
        <color theme="1"/>
      </font>
    </dxf>
    <dxf>
      <font>
        <b/>
        <color theme="1"/>
      </font>
      <border>
        <top style="thin">
          <color theme="4"/>
        </top>
        <bottom style="thin">
          <color theme="4"/>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fill>
        <patternFill patternType="solid">
          <fgColor theme="4" tint="0.79998168889431442"/>
          <bgColor theme="4" tint="0.79998168889431442"/>
        </patternFill>
      </fill>
      <border>
        <top style="thin">
          <color theme="4" tint="0.39997558519241921"/>
        </top>
        <bottom style="thin">
          <color theme="4" tint="0.39997558519241921"/>
        </bottom>
      </border>
    </dxf>
    <dxf>
      <font>
        <b/>
        <color theme="1"/>
      </font>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21"/>
        </horizontal>
      </border>
    </dxf>
  </dxfs>
  <tableStyles count="2" defaultTableStyle="TableStyleMedium2" defaultPivotStyle="PivotStyleLight16">
    <tableStyle name="TableStylePreset3_Accent1" pivot="0" count="7">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tableStyleElement type="headerRow" dxfId="11"/>
      <tableStyleElement type="totalRow" dxfId="10"/>
      <tableStyleElement type="firstRowStripe" dxfId="9"/>
      <tableStyleElement type="firstColumnStripe"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xdr:col>
      <xdr:colOff>502920</xdr:colOff>
      <xdr:row>11</xdr:row>
      <xdr:rowOff>106680</xdr:rowOff>
    </xdr:from>
    <xdr:to>
      <xdr:col>2</xdr:col>
      <xdr:colOff>1409700</xdr:colOff>
      <xdr:row>25</xdr:row>
      <xdr:rowOff>13335</xdr:rowOff>
    </xdr:to>
    <mc:AlternateContent xmlns:mc="http://schemas.openxmlformats.org/markup-compatibility/2006" xmlns:a14="http://schemas.microsoft.com/office/drawing/2010/main">
      <mc:Choice Requires="a14">
        <xdr:graphicFrame macro="">
          <xdr:nvGraphicFramePr>
            <xdr:cNvPr id="2"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363980" y="21183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1455420</xdr:colOff>
      <xdr:row>11</xdr:row>
      <xdr:rowOff>106680</xdr:rowOff>
    </xdr:from>
    <xdr:to>
      <xdr:col>3</xdr:col>
      <xdr:colOff>1257300</xdr:colOff>
      <xdr:row>25</xdr:row>
      <xdr:rowOff>13335</xdr:rowOff>
    </xdr:to>
    <mc:AlternateContent xmlns:mc="http://schemas.openxmlformats.org/markup-compatibility/2006" xmlns:a14="http://schemas.microsoft.com/office/drawing/2010/main">
      <mc:Choice Requires="a14">
        <xdr:graphicFrame macro="">
          <xdr:nvGraphicFramePr>
            <xdr:cNvPr id="3" name="DESG"/>
            <xdr:cNvGraphicFramePr/>
          </xdr:nvGraphicFramePr>
          <xdr:xfrm>
            <a:off x="0" y="0"/>
            <a:ext cx="0" cy="0"/>
          </xdr:xfrm>
          <a:graphic>
            <a:graphicData uri="http://schemas.microsoft.com/office/drawing/2010/slicer">
              <sle:slicer xmlns:sle="http://schemas.microsoft.com/office/drawing/2010/slicer" name="DESG"/>
            </a:graphicData>
          </a:graphic>
        </xdr:graphicFrame>
      </mc:Choice>
      <mc:Fallback xmlns="">
        <xdr:sp macro="" textlink="">
          <xdr:nvSpPr>
            <xdr:cNvPr id="0" name=""/>
            <xdr:cNvSpPr>
              <a:spLocks noTextEdit="1"/>
            </xdr:cNvSpPr>
          </xdr:nvSpPr>
          <xdr:spPr>
            <a:xfrm>
              <a:off x="3238500" y="21183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xdr:colOff>
      <xdr:row>11</xdr:row>
      <xdr:rowOff>106680</xdr:rowOff>
    </xdr:from>
    <xdr:to>
      <xdr:col>5</xdr:col>
      <xdr:colOff>579120</xdr:colOff>
      <xdr:row>25</xdr:row>
      <xdr:rowOff>13335</xdr:rowOff>
    </xdr:to>
    <mc:AlternateContent xmlns:mc="http://schemas.openxmlformats.org/markup-compatibility/2006" xmlns:a14="http://schemas.microsoft.com/office/drawing/2010/main">
      <mc:Choice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143500" y="21183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693420</xdr:colOff>
      <xdr:row>11</xdr:row>
      <xdr:rowOff>106680</xdr:rowOff>
    </xdr:from>
    <xdr:to>
      <xdr:col>6</xdr:col>
      <xdr:colOff>1440180</xdr:colOff>
      <xdr:row>24</xdr:row>
      <xdr:rowOff>158115</xdr:rowOff>
    </xdr:to>
    <mc:AlternateContent xmlns:mc="http://schemas.openxmlformats.org/markup-compatibility/2006" xmlns:a14="http://schemas.microsoft.com/office/drawing/2010/main">
      <mc:Choice Requires="a14">
        <xdr:graphicFrame macro="">
          <xdr:nvGraphicFramePr>
            <xdr:cNvPr id="5" name="Month/Year"/>
            <xdr:cNvGraphicFramePr/>
          </xdr:nvGraphicFramePr>
          <xdr:xfrm>
            <a:off x="0" y="0"/>
            <a:ext cx="0" cy="0"/>
          </xdr:xfrm>
          <a:graphic>
            <a:graphicData uri="http://schemas.microsoft.com/office/drawing/2010/slicer">
              <sle:slicer xmlns:sle="http://schemas.microsoft.com/office/drawing/2010/slicer" name="Month/Year"/>
            </a:graphicData>
          </a:graphic>
        </xdr:graphicFrame>
      </mc:Choice>
      <mc:Fallback xmlns="">
        <xdr:sp macro="" textlink="">
          <xdr:nvSpPr>
            <xdr:cNvPr id="0" name=""/>
            <xdr:cNvSpPr>
              <a:spLocks noTextEdit="1"/>
            </xdr:cNvSpPr>
          </xdr:nvSpPr>
          <xdr:spPr>
            <a:xfrm>
              <a:off x="7086600" y="2118360"/>
              <a:ext cx="1828800" cy="2428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eel Dey" refreshedDate="46267.969038541669" createdVersion="5" refreshedVersion="5" minRefreshableVersion="3" recordCount="8">
  <cacheSource type="worksheet">
    <worksheetSource name="Table1"/>
  </cacheSource>
  <cacheFields count="24">
    <cacheField name="Region" numFmtId="0">
      <sharedItems containsBlank="1" count="2">
        <s v="Kolkata I"/>
        <m/>
      </sharedItems>
    </cacheField>
    <cacheField name="User" numFmtId="0">
      <sharedItems containsBlank="1" count="8">
        <s v="Bhanu Bhakta Khadka"/>
        <s v="Binay Kumar Mahanta"/>
        <s v="Sk  Mofez"/>
        <s v="Rahul  Pal"/>
        <s v="Subrata  Das"/>
        <s v="Pritam  Das"/>
        <s v="neel dey"/>
        <m/>
      </sharedItems>
    </cacheField>
    <cacheField name="Emp Code" numFmtId="0">
      <sharedItems containsBlank="1" containsMixedTypes="1" containsNumber="1" containsInteger="1" minValue="33555" maxValue="33555"/>
    </cacheField>
    <cacheField name="DESG" numFmtId="0">
      <sharedItems containsBlank="1" count="2">
        <s v="DCE"/>
        <m/>
      </sharedItems>
    </cacheField>
    <cacheField name="Location" numFmtId="0">
      <sharedItems containsBlank="1" count="7">
        <s v="Siliguri 2"/>
        <s v="Guwahati 2"/>
        <s v="Kolkata 7"/>
        <s v="Kolkata 3"/>
        <s v="Siliguri 1"/>
        <s v="Kolkata 8"/>
        <m/>
      </sharedItems>
    </cacheField>
    <cacheField name="Month/Year" numFmtId="0">
      <sharedItems containsDate="1" containsBlank="1" containsMixedTypes="1" minDate="2026-07-01T00:00:00" maxDate="2026-07-02T00:00:00" count="3">
        <s v="Aug-2026"/>
        <d v="2026-07-01T00:00:00"/>
        <m/>
      </sharedItems>
    </cacheField>
    <cacheField name="Work Days" numFmtId="0">
      <sharedItems containsBlank="1" containsMixedTypes="1" containsNumber="1" containsInteger="1" minValue="30" maxValue="30"/>
    </cacheField>
    <cacheField name="Camp" numFmtId="0">
      <sharedItems containsBlank="1" containsMixedTypes="1" containsNumber="1" minValue="2.5" maxValue="2.5"/>
    </cacheField>
    <cacheField name="NCA" numFmtId="0">
      <sharedItems containsBlank="1" containsMixedTypes="1" containsNumber="1" minValue="1.5" maxValue="1.5"/>
    </cacheField>
    <cacheField name="FWD" numFmtId="0">
      <sharedItems containsBlank="1" containsMixedTypes="1" containsNumber="1" containsInteger="1" minValue="25" maxValue="25"/>
    </cacheField>
    <cacheField name="FDW Days" numFmtId="0">
      <sharedItems containsBlank="1" containsMixedTypes="1" containsNumber="1" containsInteger="1" minValue="5465" maxValue="5465"/>
    </cacheField>
    <cacheField name="Doctors in SVL" numFmtId="0">
      <sharedItems containsString="0" containsBlank="1" containsNumber="1" containsInteger="1" minValue="55" maxValue="93"/>
    </cacheField>
    <cacheField name="Doctors Met" numFmtId="0">
      <sharedItems containsString="0" containsBlank="1" containsNumber="1" containsInteger="1" minValue="55" maxValue="84"/>
    </cacheField>
    <cacheField name="drCALL" numFmtId="0">
      <sharedItems containsString="0" containsBlank="1" containsNumber="1" containsInteger="1" minValue="55" maxValue="245"/>
    </cacheField>
    <cacheField name="Call/Not A Call Dr Call Avg" numFmtId="0">
      <sharedItems containsString="0" containsBlank="1" containsNumber="1" minValue="8.08" maxValue="55"/>
    </cacheField>
    <cacheField name="%Dr Cvrg" numFmtId="0">
      <sharedItems containsString="0" containsBlank="1" containsNumber="1" minValue="55" maxValue="98.82"/>
    </cacheField>
    <cacheField name="% Repeat Cvrg" numFmtId="0">
      <sharedItems containsBlank="1" containsMixedTypes="1" containsNumber="1" containsInteger="1" minValue="55" maxValue="55"/>
    </cacheField>
    <cacheField name="Missed Dr" numFmtId="0">
      <sharedItems containsString="0" containsBlank="1" containsNumber="1" containsInteger="1" minValue="1" maxValue="15"/>
    </cacheField>
    <cacheField name="Chemists in SVL" numFmtId="0">
      <sharedItems containsBlank="1" containsMixedTypes="1" containsNumber="1" containsInteger="1" minValue="66" maxValue="66"/>
    </cacheField>
    <cacheField name="Chemist met" numFmtId="0">
      <sharedItems containsBlank="1" containsMixedTypes="1" containsNumber="1" containsInteger="1" minValue="55" maxValue="55"/>
    </cacheField>
    <cacheField name="L Che Call Avg" numFmtId="0">
      <sharedItems containsString="0" containsBlank="1" containsNumber="1" minValue="0" maxValue="55"/>
    </cacheField>
    <cacheField name="Doctors Detailed" numFmtId="0">
      <sharedItems containsBlank="1" containsMixedTypes="1" containsNumber="1" containsInteger="1" minValue="55" maxValue="77"/>
    </cacheField>
    <cacheField name="% Dr Detailed Cvrg" numFmtId="0">
      <sharedItems containsString="0" containsBlank="1" containsNumber="1" minValue="1.27" maxValue="100"/>
    </cacheField>
    <cacheField name="Core Coverage" numFmtId="0">
      <sharedItems containsString="0" containsBlank="1" containsNumber="1" minValue="55" maxValue="1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
  <r>
    <x v="0"/>
    <x v="0"/>
    <s v="32231"/>
    <x v="0"/>
    <x v="0"/>
    <x v="0"/>
    <s v="25"/>
    <s v="0"/>
    <s v="1"/>
    <s v="25"/>
    <s v="24"/>
    <n v="86"/>
    <n v="78"/>
    <n v="245"/>
    <n v="10.210000000000001"/>
    <n v="90.7"/>
    <s v="87.21"/>
    <n v="8"/>
    <s v="60"/>
    <s v="54"/>
    <n v="5.04"/>
    <n v="77"/>
    <n v="98.72"/>
    <n v="100"/>
  </r>
  <r>
    <x v="0"/>
    <x v="1"/>
    <s v="33170"/>
    <x v="0"/>
    <x v="1"/>
    <x v="0"/>
    <s v="25"/>
    <s v="1"/>
    <s v="1"/>
    <s v="25"/>
    <s v="24"/>
    <n v="85"/>
    <n v="84"/>
    <n v="194"/>
    <n v="8.08"/>
    <n v="98.82"/>
    <s v="70.59"/>
    <n v="1"/>
    <s v="50"/>
    <s v="47"/>
    <n v="4.92"/>
    <s v="59"/>
    <n v="70.239999999999995"/>
    <n v="100"/>
  </r>
  <r>
    <x v="0"/>
    <x v="2"/>
    <s v="36270"/>
    <x v="0"/>
    <x v="2"/>
    <x v="0"/>
    <s v="25"/>
    <s v="0"/>
    <s v="1.5"/>
    <s v="25"/>
    <s v="23.5"/>
    <n v="93"/>
    <n v="78"/>
    <n v="204"/>
    <n v="8.68"/>
    <n v="83.87"/>
    <s v="58.89"/>
    <n v="15"/>
    <s v="120"/>
    <s v="29"/>
    <n v="1.87"/>
    <s v="58"/>
    <n v="74.36"/>
    <n v="100"/>
  </r>
  <r>
    <x v="0"/>
    <x v="3"/>
    <s v="32526"/>
    <x v="0"/>
    <x v="3"/>
    <x v="0"/>
    <s v="25"/>
    <s v="0"/>
    <s v="1"/>
    <s v="25"/>
    <s v="23"/>
    <n v="86"/>
    <n v="76"/>
    <n v="194"/>
    <n v="8.43"/>
    <n v="88.37"/>
    <s v="70.89"/>
    <n v="10"/>
    <s v="63"/>
    <s v="31"/>
    <n v="3.17"/>
    <s v="68"/>
    <n v="89.47"/>
    <n v="83.33"/>
  </r>
  <r>
    <x v="0"/>
    <x v="4"/>
    <s v="36243"/>
    <x v="0"/>
    <x v="4"/>
    <x v="0"/>
    <s v="25"/>
    <s v="0"/>
    <s v="0.5"/>
    <s v="25"/>
    <s v="24.5"/>
    <n v="84"/>
    <n v="79"/>
    <n v="238"/>
    <n v="9.7100000000000009"/>
    <n v="94.05"/>
    <s v="85.71"/>
    <n v="5"/>
    <s v="47"/>
    <s v="44"/>
    <n v="4.6100000000000003"/>
    <s v="79"/>
    <n v="100"/>
    <n v="88.89"/>
  </r>
  <r>
    <x v="0"/>
    <x v="5"/>
    <s v="34783"/>
    <x v="0"/>
    <x v="5"/>
    <x v="0"/>
    <s v="27"/>
    <s v="1.5"/>
    <s v="2.5"/>
    <s v="27"/>
    <s v="24.5"/>
    <n v="88"/>
    <n v="79"/>
    <n v="208"/>
    <n v="8.49"/>
    <n v="89.77"/>
    <s v="63.53"/>
    <n v="9"/>
    <s v="35"/>
    <s v="0"/>
    <n v="0"/>
    <s v="1"/>
    <n v="1.27"/>
    <n v="78.569999999999993"/>
  </r>
  <r>
    <x v="0"/>
    <x v="6"/>
    <n v="33555"/>
    <x v="0"/>
    <x v="5"/>
    <x v="1"/>
    <n v="30"/>
    <n v="2.5"/>
    <n v="1.5"/>
    <n v="25"/>
    <n v="5465"/>
    <n v="55"/>
    <n v="55"/>
    <n v="55"/>
    <n v="55"/>
    <n v="55"/>
    <n v="55"/>
    <n v="5"/>
    <n v="66"/>
    <n v="55"/>
    <n v="55"/>
    <n v="55"/>
    <n v="55"/>
    <n v="55"/>
  </r>
  <r>
    <x v="1"/>
    <x v="7"/>
    <m/>
    <x v="1"/>
    <x v="6"/>
    <x v="2"/>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6:H8" firstHeaderRow="0" firstDataRow="1" firstDataCol="1"/>
  <pivotFields count="24">
    <pivotField showAll="0">
      <items count="3">
        <item x="0"/>
        <item x="1"/>
        <item t="default"/>
      </items>
    </pivotField>
    <pivotField axis="axisRow" showAll="0">
      <items count="9">
        <item x="0"/>
        <item h="1" x="1"/>
        <item h="1" x="5"/>
        <item h="1" x="3"/>
        <item h="1" x="2"/>
        <item h="1" x="4"/>
        <item x="6"/>
        <item h="1" x="7"/>
        <item t="default"/>
      </items>
    </pivotField>
    <pivotField showAll="0"/>
    <pivotField showAll="0">
      <items count="3">
        <item x="0"/>
        <item h="1" x="1"/>
        <item t="default"/>
      </items>
    </pivotField>
    <pivotField showAll="0">
      <items count="8">
        <item x="1"/>
        <item x="3"/>
        <item x="2"/>
        <item x="5"/>
        <item x="4"/>
        <item x="0"/>
        <item x="6"/>
        <item t="default"/>
      </items>
    </pivotField>
    <pivotField showAll="0">
      <items count="4">
        <item h="1" x="0"/>
        <item x="1"/>
        <item h="1" x="2"/>
        <item t="default"/>
      </items>
    </pivotField>
    <pivotField showAll="0"/>
    <pivotField showAll="0"/>
    <pivotField showAll="0"/>
    <pivotField showAll="0"/>
    <pivotField showAll="0"/>
    <pivotField showAll="0"/>
    <pivotField showAll="0"/>
    <pivotField dataField="1" showAll="0" defaultSubtotal="0"/>
    <pivotField dataField="1" showAll="0"/>
    <pivotField dataField="1" showAll="0"/>
    <pivotField showAll="0"/>
    <pivotField dataField="1" showAll="0"/>
    <pivotField showAll="0"/>
    <pivotField showAll="0"/>
    <pivotField dataField="1" showAll="0"/>
    <pivotField showAll="0"/>
    <pivotField dataField="1" showAll="0"/>
    <pivotField dataField="1" showAll="0"/>
  </pivotFields>
  <rowFields count="1">
    <field x="1"/>
  </rowFields>
  <rowItems count="2">
    <i>
      <x v="6"/>
    </i>
    <i t="grand">
      <x/>
    </i>
  </rowItems>
  <colFields count="1">
    <field x="-2"/>
  </colFields>
  <colItems count="7">
    <i>
      <x/>
    </i>
    <i i="1">
      <x v="1"/>
    </i>
    <i i="2">
      <x v="2"/>
    </i>
    <i i="3">
      <x v="3"/>
    </i>
    <i i="4">
      <x v="4"/>
    </i>
    <i i="5">
      <x v="5"/>
    </i>
    <i i="6">
      <x v="6"/>
    </i>
  </colItems>
  <dataFields count="7">
    <dataField name="Sum of drCALL" fld="13" baseField="0" baseItem="0"/>
    <dataField name="Sum of Call/Not A Call Dr Call Avg" fld="14" baseField="0" baseItem="0"/>
    <dataField name="Sum of L Che Call Avg" fld="20" baseField="0" baseItem="0"/>
    <dataField name="Average of %Dr Cvrg" fld="15" subtotal="average" baseField="1" baseItem="0"/>
    <dataField name="Sum of Missed Dr" fld="17" baseField="1" baseItem="0"/>
    <dataField name="Sum of % Dr Detailed Cvrg" fld="22" baseField="0" baseItem="0"/>
    <dataField name="Sum of Core Coverage"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Location" sourceName="Location">
  <pivotTables>
    <pivotTable tabId="2" name="PivotTable1"/>
  </pivotTables>
  <data>
    <tabular pivotCacheId="1">
      <items count="7">
        <i x="5" s="1"/>
        <i x="1" s="1" nd="1"/>
        <i x="3" s="1" nd="1"/>
        <i x="2" s="1" nd="1"/>
        <i x="4" s="1" nd="1"/>
        <i x="0" s="1" nd="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SG" sourceName="DESG">
  <pivotTables>
    <pivotTable tabId="2" name="PivotTable1"/>
  </pivotTables>
  <data>
    <tabular pivotCacheId="1">
      <items count="2">
        <i x="0" s="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s>
  <data>
    <tabular pivotCacheId="1">
      <items count="2">
        <i x="0" s="1"/>
        <i x="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_Year" sourceName="Month/Year">
  <pivotTables>
    <pivotTable tabId="2" name="PivotTable1"/>
  </pivotTables>
  <data>
    <tabular pivotCacheId="1">
      <items count="3">
        <i x="0"/>
        <i x="1"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Location" cache="Slicer_Location" caption="Location" rowHeight="234950"/>
  <slicer name="DESG" cache="Slicer_DESG" caption="DESG" rowHeight="234950"/>
  <slicer name="Region" cache="Slicer_Region" caption="Region" rowHeight="234950"/>
  <slicer name="Month/Year" cache="Slicer_Month_Year" caption="Month/Year" rowHeight="234950"/>
</slicers>
</file>

<file path=xl/tables/table1.xml><?xml version="1.0" encoding="utf-8"?>
<table xmlns="http://schemas.openxmlformats.org/spreadsheetml/2006/main" id="1" name="Table1" displayName="Table1" ref="A1:X7" totalsRowShown="0" headerRowDxfId="1" headerRowCellStyle="Normal 2" dataCellStyle="Normal 2">
  <autoFilter ref="A1:X7"/>
  <tableColumns count="24">
    <tableColumn id="1" name="Region" dataCellStyle="Normal 2"/>
    <tableColumn id="2" name="User" dataCellStyle="Normal 2"/>
    <tableColumn id="3" name="Emp Code" dataCellStyle="Normal 2"/>
    <tableColumn id="4" name="DESG" dataCellStyle="Normal 2"/>
    <tableColumn id="5" name="Location" dataCellStyle="Normal 2"/>
    <tableColumn id="6" name="Month/Year" dataDxfId="0" dataCellStyle="Normal 2"/>
    <tableColumn id="7" name="Work Days" dataCellStyle="Normal 2"/>
    <tableColumn id="8" name="Camp" dataCellStyle="Normal 2"/>
    <tableColumn id="9" name="NCA" dataCellStyle="Normal 2"/>
    <tableColumn id="10" name="FWD" dataCellStyle="Normal 2"/>
    <tableColumn id="11" name="FDW Days" dataCellStyle="Normal 2"/>
    <tableColumn id="12" name="Doctors in SVL" dataCellStyle="Normal 2"/>
    <tableColumn id="13" name="Doctors Met" dataCellStyle="Normal 2"/>
    <tableColumn id="14" name="drCALL" dataCellStyle="Normal 2"/>
    <tableColumn id="17" name="Call/Not A Call Dr Call Avg" dataCellStyle="Normal 2"/>
    <tableColumn id="18" name="%Dr Cvrg" dataCellStyle="Normal 2"/>
    <tableColumn id="19" name="% Repeat Cvrg" dataCellStyle="Normal 2"/>
    <tableColumn id="20" name="Missed Dr" dataCellStyle="Normal 2"/>
    <tableColumn id="21" name="Chemists in SVL" dataCellStyle="Normal 2"/>
    <tableColumn id="22" name="Chemist met" dataCellStyle="Normal 2"/>
    <tableColumn id="23" name="L Che Call Avg" dataCellStyle="Normal 2"/>
    <tableColumn id="24" name="Doctors Detailed" dataCellStyle="Normal 2"/>
    <tableColumn id="25" name="% Dr Detailed Cvrg" dataCellStyle="Normal 2"/>
    <tableColumn id="26" name="Core Coverage"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
  <sheetViews>
    <sheetView tabSelected="1" workbookViewId="0">
      <selection activeCell="D19" sqref="D19"/>
    </sheetView>
  </sheetViews>
  <sheetFormatPr defaultRowHeight="14.4" x14ac:dyDescent="0.3"/>
  <cols>
    <col min="3" max="3" width="11.44140625" customWidth="1"/>
    <col min="5" max="5" width="10.109375" customWidth="1"/>
    <col min="6" max="6" width="13.21875" customWidth="1"/>
    <col min="7" max="7" width="11.88671875" customWidth="1"/>
    <col min="11" max="11" width="11.21875" customWidth="1"/>
    <col min="12" max="12" width="14.88671875" customWidth="1"/>
    <col min="13" max="13" width="13.21875" customWidth="1"/>
    <col min="14" max="14" width="13.5546875" customWidth="1"/>
    <col min="15" max="15" width="24.44140625" customWidth="1"/>
    <col min="16" max="16" width="10.44140625" customWidth="1"/>
    <col min="17" max="17" width="14.88671875" customWidth="1"/>
    <col min="18" max="18" width="11.109375" customWidth="1"/>
    <col min="19" max="19" width="16" customWidth="1"/>
    <col min="20" max="20" width="13.44140625" customWidth="1"/>
    <col min="21" max="21" width="14.5546875" customWidth="1"/>
    <col min="22" max="22" width="16.6640625" customWidth="1"/>
    <col min="23" max="23" width="18.21875" customWidth="1"/>
    <col min="24" max="24" width="15.109375" customWidth="1"/>
  </cols>
  <sheetData>
    <row r="1" spans="1:24" x14ac:dyDescent="0.3">
      <c r="A1" s="2" t="s">
        <v>0</v>
      </c>
      <c r="B1" s="2" t="s">
        <v>1</v>
      </c>
      <c r="C1" s="2" t="s">
        <v>2</v>
      </c>
      <c r="D1" s="2" t="s">
        <v>3</v>
      </c>
      <c r="E1" s="2" t="s">
        <v>4</v>
      </c>
      <c r="F1" s="2" t="s">
        <v>5</v>
      </c>
      <c r="G1" s="2" t="s">
        <v>6</v>
      </c>
      <c r="H1" s="2" t="s">
        <v>7</v>
      </c>
      <c r="I1" s="2" t="s">
        <v>8</v>
      </c>
      <c r="J1" s="2" t="s">
        <v>9</v>
      </c>
      <c r="K1" s="2" t="s">
        <v>10</v>
      </c>
      <c r="L1" s="2" t="s">
        <v>11</v>
      </c>
      <c r="M1" s="2" t="s">
        <v>12</v>
      </c>
      <c r="N1" s="2" t="s">
        <v>77</v>
      </c>
      <c r="O1" s="2" t="s">
        <v>13</v>
      </c>
      <c r="P1" s="2" t="s">
        <v>14</v>
      </c>
      <c r="Q1" s="2" t="s">
        <v>15</v>
      </c>
      <c r="R1" s="2" t="s">
        <v>16</v>
      </c>
      <c r="S1" s="2" t="s">
        <v>17</v>
      </c>
      <c r="T1" s="2" t="s">
        <v>18</v>
      </c>
      <c r="U1" s="2" t="s">
        <v>19</v>
      </c>
      <c r="V1" s="2" t="s">
        <v>20</v>
      </c>
      <c r="W1" s="2" t="s">
        <v>21</v>
      </c>
      <c r="X1" s="2" t="s">
        <v>22</v>
      </c>
    </row>
    <row r="2" spans="1:24" x14ac:dyDescent="0.3">
      <c r="A2" s="1" t="s">
        <v>23</v>
      </c>
      <c r="B2" s="1" t="s">
        <v>24</v>
      </c>
      <c r="C2" s="1" t="s">
        <v>25</v>
      </c>
      <c r="D2" s="1" t="s">
        <v>26</v>
      </c>
      <c r="E2" s="1" t="s">
        <v>27</v>
      </c>
      <c r="F2" s="6" t="s">
        <v>28</v>
      </c>
      <c r="G2" s="1" t="s">
        <v>29</v>
      </c>
      <c r="H2" s="1" t="s">
        <v>30</v>
      </c>
      <c r="I2" s="1" t="s">
        <v>31</v>
      </c>
      <c r="J2" s="1" t="s">
        <v>29</v>
      </c>
      <c r="K2" s="1" t="s">
        <v>32</v>
      </c>
      <c r="L2" s="1">
        <v>86</v>
      </c>
      <c r="M2" s="1">
        <v>78</v>
      </c>
      <c r="N2" s="1">
        <v>245</v>
      </c>
      <c r="O2" s="1">
        <v>10.210000000000001</v>
      </c>
      <c r="P2" s="1">
        <v>90.7</v>
      </c>
      <c r="Q2" s="1" t="s">
        <v>33</v>
      </c>
      <c r="R2" s="1">
        <v>8</v>
      </c>
      <c r="S2" s="1" t="s">
        <v>34</v>
      </c>
      <c r="T2" s="1" t="s">
        <v>35</v>
      </c>
      <c r="U2" s="1">
        <v>5.04</v>
      </c>
      <c r="V2" s="1">
        <v>77</v>
      </c>
      <c r="W2" s="1">
        <v>98.72</v>
      </c>
      <c r="X2" s="1">
        <v>100</v>
      </c>
    </row>
    <row r="3" spans="1:24" x14ac:dyDescent="0.3">
      <c r="A3" s="1" t="s">
        <v>23</v>
      </c>
      <c r="B3" s="1" t="s">
        <v>36</v>
      </c>
      <c r="C3" s="1" t="s">
        <v>37</v>
      </c>
      <c r="D3" s="1" t="s">
        <v>26</v>
      </c>
      <c r="E3" s="1" t="s">
        <v>38</v>
      </c>
      <c r="F3" s="6" t="s">
        <v>28</v>
      </c>
      <c r="G3" s="1" t="s">
        <v>29</v>
      </c>
      <c r="H3" s="1" t="s">
        <v>31</v>
      </c>
      <c r="I3" s="1" t="s">
        <v>31</v>
      </c>
      <c r="J3" s="1" t="s">
        <v>29</v>
      </c>
      <c r="K3" s="1" t="s">
        <v>32</v>
      </c>
      <c r="L3" s="1">
        <v>85</v>
      </c>
      <c r="M3" s="1">
        <v>84</v>
      </c>
      <c r="N3" s="1">
        <v>194</v>
      </c>
      <c r="O3" s="1">
        <v>8.08</v>
      </c>
      <c r="P3" s="1">
        <v>98.82</v>
      </c>
      <c r="Q3" s="1" t="s">
        <v>39</v>
      </c>
      <c r="R3" s="1">
        <v>1</v>
      </c>
      <c r="S3" s="1" t="s">
        <v>40</v>
      </c>
      <c r="T3" s="1" t="s">
        <v>41</v>
      </c>
      <c r="U3" s="1">
        <v>4.92</v>
      </c>
      <c r="V3" s="1" t="s">
        <v>42</v>
      </c>
      <c r="W3" s="1">
        <v>70.239999999999995</v>
      </c>
      <c r="X3" s="1">
        <v>100</v>
      </c>
    </row>
    <row r="4" spans="1:24" x14ac:dyDescent="0.3">
      <c r="A4" s="1" t="s">
        <v>23</v>
      </c>
      <c r="B4" s="1" t="s">
        <v>43</v>
      </c>
      <c r="C4" s="1" t="s">
        <v>44</v>
      </c>
      <c r="D4" s="1" t="s">
        <v>26</v>
      </c>
      <c r="E4" s="1" t="s">
        <v>45</v>
      </c>
      <c r="F4" s="6" t="s">
        <v>28</v>
      </c>
      <c r="G4" s="1" t="s">
        <v>29</v>
      </c>
      <c r="H4" s="1" t="s">
        <v>30</v>
      </c>
      <c r="I4" s="1" t="s">
        <v>46</v>
      </c>
      <c r="J4" s="1" t="s">
        <v>29</v>
      </c>
      <c r="K4" s="1" t="s">
        <v>47</v>
      </c>
      <c r="L4" s="1">
        <v>93</v>
      </c>
      <c r="M4" s="1">
        <v>78</v>
      </c>
      <c r="N4" s="1">
        <v>204</v>
      </c>
      <c r="O4" s="1">
        <v>8.68</v>
      </c>
      <c r="P4" s="1">
        <v>83.87</v>
      </c>
      <c r="Q4" s="1" t="s">
        <v>48</v>
      </c>
      <c r="R4" s="1">
        <v>15</v>
      </c>
      <c r="S4" s="1" t="s">
        <v>49</v>
      </c>
      <c r="T4" s="1" t="s">
        <v>50</v>
      </c>
      <c r="U4" s="1">
        <v>1.87</v>
      </c>
      <c r="V4" s="1" t="s">
        <v>51</v>
      </c>
      <c r="W4" s="1">
        <v>74.36</v>
      </c>
      <c r="X4" s="1">
        <v>100</v>
      </c>
    </row>
    <row r="5" spans="1:24" x14ac:dyDescent="0.3">
      <c r="A5" s="1" t="s">
        <v>23</v>
      </c>
      <c r="B5" s="1" t="s">
        <v>52</v>
      </c>
      <c r="C5" s="1" t="s">
        <v>53</v>
      </c>
      <c r="D5" s="1" t="s">
        <v>26</v>
      </c>
      <c r="E5" s="1" t="s">
        <v>54</v>
      </c>
      <c r="F5" s="6" t="s">
        <v>28</v>
      </c>
      <c r="G5" s="1" t="s">
        <v>29</v>
      </c>
      <c r="H5" s="1" t="s">
        <v>30</v>
      </c>
      <c r="I5" s="1" t="s">
        <v>31</v>
      </c>
      <c r="J5" s="1" t="s">
        <v>29</v>
      </c>
      <c r="K5" s="1" t="s">
        <v>55</v>
      </c>
      <c r="L5" s="1">
        <v>86</v>
      </c>
      <c r="M5" s="1">
        <v>76</v>
      </c>
      <c r="N5" s="1">
        <v>194</v>
      </c>
      <c r="O5" s="1">
        <v>8.43</v>
      </c>
      <c r="P5" s="1">
        <v>88.37</v>
      </c>
      <c r="Q5" s="1" t="s">
        <v>56</v>
      </c>
      <c r="R5" s="1">
        <v>10</v>
      </c>
      <c r="S5" s="1" t="s">
        <v>57</v>
      </c>
      <c r="T5" s="1" t="s">
        <v>58</v>
      </c>
      <c r="U5" s="1">
        <v>3.17</v>
      </c>
      <c r="V5" s="1" t="s">
        <v>59</v>
      </c>
      <c r="W5" s="1">
        <v>89.47</v>
      </c>
      <c r="X5" s="1">
        <v>83.33</v>
      </c>
    </row>
    <row r="6" spans="1:24" x14ac:dyDescent="0.3">
      <c r="A6" s="1" t="s">
        <v>23</v>
      </c>
      <c r="B6" s="1" t="s">
        <v>60</v>
      </c>
      <c r="C6" s="1" t="s">
        <v>61</v>
      </c>
      <c r="D6" s="1" t="s">
        <v>26</v>
      </c>
      <c r="E6" s="1" t="s">
        <v>62</v>
      </c>
      <c r="F6" s="6" t="s">
        <v>28</v>
      </c>
      <c r="G6" s="1" t="s">
        <v>29</v>
      </c>
      <c r="H6" s="1" t="s">
        <v>30</v>
      </c>
      <c r="I6" s="1" t="s">
        <v>63</v>
      </c>
      <c r="J6" s="1" t="s">
        <v>29</v>
      </c>
      <c r="K6" s="1" t="s">
        <v>64</v>
      </c>
      <c r="L6" s="1">
        <v>84</v>
      </c>
      <c r="M6" s="1">
        <v>79</v>
      </c>
      <c r="N6" s="1">
        <v>238</v>
      </c>
      <c r="O6" s="1">
        <v>9.7100000000000009</v>
      </c>
      <c r="P6" s="1">
        <v>94.05</v>
      </c>
      <c r="Q6" s="1" t="s">
        <v>66</v>
      </c>
      <c r="R6" s="1">
        <v>5</v>
      </c>
      <c r="S6" s="1" t="s">
        <v>41</v>
      </c>
      <c r="T6" s="1" t="s">
        <v>67</v>
      </c>
      <c r="U6" s="1">
        <v>4.6100000000000003</v>
      </c>
      <c r="V6" s="1" t="s">
        <v>65</v>
      </c>
      <c r="W6" s="1">
        <v>100</v>
      </c>
      <c r="X6" s="1">
        <v>88.89</v>
      </c>
    </row>
    <row r="7" spans="1:24" x14ac:dyDescent="0.3">
      <c r="A7" s="1" t="s">
        <v>23</v>
      </c>
      <c r="B7" s="1" t="s">
        <v>68</v>
      </c>
      <c r="C7" s="1" t="s">
        <v>69</v>
      </c>
      <c r="D7" s="1" t="s">
        <v>26</v>
      </c>
      <c r="E7" s="1" t="s">
        <v>70</v>
      </c>
      <c r="F7" s="6" t="s">
        <v>28</v>
      </c>
      <c r="G7" s="1" t="s">
        <v>71</v>
      </c>
      <c r="H7" s="1" t="s">
        <v>46</v>
      </c>
      <c r="I7" s="1" t="s">
        <v>72</v>
      </c>
      <c r="J7" s="1" t="s">
        <v>71</v>
      </c>
      <c r="K7" s="1" t="s">
        <v>64</v>
      </c>
      <c r="L7" s="1">
        <v>88</v>
      </c>
      <c r="M7" s="1">
        <v>79</v>
      </c>
      <c r="N7" s="1">
        <v>208</v>
      </c>
      <c r="O7" s="1">
        <v>8.49</v>
      </c>
      <c r="P7" s="1">
        <v>89.77</v>
      </c>
      <c r="Q7" s="1" t="s">
        <v>73</v>
      </c>
      <c r="R7" s="1">
        <v>9</v>
      </c>
      <c r="S7" s="1" t="s">
        <v>74</v>
      </c>
      <c r="T7" s="1" t="s">
        <v>30</v>
      </c>
      <c r="U7" s="1">
        <v>0</v>
      </c>
      <c r="V7" s="1" t="s">
        <v>31</v>
      </c>
      <c r="W7" s="1">
        <v>1.27</v>
      </c>
      <c r="X7" s="1">
        <v>78.569999999999993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H8"/>
  <sheetViews>
    <sheetView workbookViewId="0">
      <selection activeCell="A6" sqref="A6"/>
    </sheetView>
  </sheetViews>
  <sheetFormatPr defaultRowHeight="14.4" x14ac:dyDescent="0.3"/>
  <cols>
    <col min="1" max="1" width="12.5546875" customWidth="1"/>
    <col min="2" max="2" width="13.44140625" customWidth="1"/>
    <col min="3" max="3" width="29.5546875" bestFit="1" customWidth="1"/>
    <col min="4" max="4" width="19.33203125" customWidth="1"/>
    <col min="5" max="5" width="18.33203125" bestFit="1" customWidth="1"/>
    <col min="6" max="6" width="15.77734375" customWidth="1"/>
    <col min="7" max="7" width="23.109375" bestFit="1" customWidth="1"/>
    <col min="8" max="8" width="19.88671875" bestFit="1" customWidth="1"/>
  </cols>
  <sheetData>
    <row r="6" spans="1:8" x14ac:dyDescent="0.3">
      <c r="A6" s="3" t="s">
        <v>75</v>
      </c>
      <c r="B6" t="s">
        <v>78</v>
      </c>
      <c r="C6" t="s">
        <v>79</v>
      </c>
      <c r="D6" t="s">
        <v>80</v>
      </c>
      <c r="E6" t="s">
        <v>81</v>
      </c>
      <c r="F6" t="s">
        <v>82</v>
      </c>
      <c r="G6" t="s">
        <v>83</v>
      </c>
      <c r="H6" t="s">
        <v>84</v>
      </c>
    </row>
    <row r="7" spans="1:8" x14ac:dyDescent="0.3">
      <c r="A7" s="4" t="s">
        <v>85</v>
      </c>
      <c r="B7" s="5">
        <v>55</v>
      </c>
      <c r="C7" s="5">
        <v>55</v>
      </c>
      <c r="D7" s="5">
        <v>55</v>
      </c>
      <c r="E7" s="5">
        <v>55</v>
      </c>
      <c r="F7" s="5">
        <v>5</v>
      </c>
      <c r="G7" s="5">
        <v>55</v>
      </c>
      <c r="H7" s="5">
        <v>55</v>
      </c>
    </row>
    <row r="8" spans="1:8" x14ac:dyDescent="0.3">
      <c r="A8" s="4" t="s">
        <v>76</v>
      </c>
      <c r="B8" s="5">
        <v>55</v>
      </c>
      <c r="C8" s="5">
        <v>55</v>
      </c>
      <c r="D8" s="5">
        <v>55</v>
      </c>
      <c r="E8" s="5">
        <v>55</v>
      </c>
      <c r="F8" s="5">
        <v>5</v>
      </c>
      <c r="G8" s="5">
        <v>55</v>
      </c>
      <c r="H8" s="5">
        <v>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Neel Dey</dc:creator>
  <cp:lastModifiedBy>Neel Dey</cp:lastModifiedBy>
  <dcterms:created xsi:type="dcterms:W3CDTF">2026-09-02T17:26:04Z</dcterms:created>
  <dcterms:modified xsi:type="dcterms:W3CDTF">2026-09-18T17:07:11Z</dcterms:modified>
</cp:coreProperties>
</file>